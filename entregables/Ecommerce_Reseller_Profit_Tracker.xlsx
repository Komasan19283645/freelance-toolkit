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📦 Control de Ventas &amp; P&amp;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€"/>
    <numFmt numFmtId="165" formatCode="0.0%"/>
  </numFmts>
  <fonts count="5">
    <font>
      <name val="Calibri"/>
      <family val="2"/>
      <color theme="1"/>
      <sz val="11"/>
      <scheme val="minor"/>
    </font>
    <font>
      <name val="Segoe UI"/>
      <b val="1"/>
      <color rgb="000F172A"/>
      <sz val="15"/>
    </font>
    <font>
      <name val="Segoe UI"/>
      <i val="1"/>
      <color rgb="0064748B"/>
      <sz val="9"/>
    </font>
    <font>
      <name val="Segoe UI"/>
      <b val="1"/>
      <color rgb="00FFFFFF"/>
      <sz val="10"/>
    </font>
    <font>
      <name val="Segoe UI"/>
      <color rgb="001E293B"/>
      <sz val="10"/>
    </font>
  </fonts>
  <fills count="3">
    <fill>
      <patternFill/>
    </fill>
    <fill>
      <patternFill patternType="gray125"/>
    </fill>
    <fill>
      <patternFill patternType="solid">
        <fgColor rgb="00D97706"/>
        <bgColor rgb="00D97706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3" fillId="2" borderId="0" applyAlignment="1" pivotButton="0" quotePrefix="0" xfId="0">
      <alignment horizontal="left"/>
    </xf>
    <xf numFmtId="0" fontId="4" fillId="0" borderId="1" pivotButton="0" quotePrefix="0" xfId="0"/>
    <xf numFmtId="164" fontId="4" fillId="0" borderId="1" pivotButton="0" quotePrefix="0" xfId="0"/>
    <xf numFmtId="165" fontId="4" fillId="0" borderId="1" pivotButton="0" quotePrefix="0" xfId="0"/>
  </cellXfs>
  <cellStyles count="1">
    <cellStyle name="Normal" xfId="0" builtinId="0" hidden="0"/>
  </cellStyles>
  <dxfs count="3">
    <dxf>
      <font>
        <name val="Segoe UI"/>
        <b val="1"/>
        <color rgb="00166534"/>
        <sz val="10"/>
      </font>
      <fill>
        <patternFill patternType="solid">
          <fgColor rgb="00DCFCE7"/>
          <bgColor rgb="00DCFCE7"/>
        </patternFill>
      </fill>
    </dxf>
    <dxf>
      <font>
        <name val="Segoe UI"/>
        <b val="1"/>
        <color rgb="0092400E"/>
        <sz val="10"/>
      </font>
      <fill>
        <patternFill patternType="solid">
          <fgColor rgb="00FEF3C7"/>
          <bgColor rgb="00FEF3C7"/>
        </patternFill>
      </fill>
    </dxf>
    <dxf>
      <font>
        <name val="Segoe UI"/>
        <b val="1"/>
        <color rgb="00991B1B"/>
        <sz val="10"/>
      </font>
      <fill>
        <patternFill patternType="solid">
          <fgColor rgb="00FEE2E2"/>
          <bgColor rgb="00FEE2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3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/>
    <row r="2">
      <c r="B2" s="1" t="inlineStr">
        <is>
          <t>E-COMMERCE &amp; RESELLING PROFIT TRACKER</t>
        </is>
      </c>
    </row>
    <row r="3">
      <c r="B3" s="2" t="inlineStr">
        <is>
          <t>Calculadora neta de margen real para Wallapop, Vinted, Amazon, eBay y Shopify</t>
        </is>
      </c>
    </row>
    <row r="4"/>
    <row r="5">
      <c r="B5" s="3" t="inlineStr">
        <is>
          <t>Fecha Compra</t>
        </is>
      </c>
      <c r="C5" s="4" t="inlineStr">
        <is>
          <t>Artículo / Producto</t>
        </is>
      </c>
      <c r="D5" s="3" t="inlineStr">
        <is>
          <t>Plataforma Venta</t>
        </is>
      </c>
      <c r="E5" s="3" t="inlineStr">
        <is>
          <t>Estado Artículo</t>
        </is>
      </c>
      <c r="F5" s="4" t="inlineStr">
        <is>
          <t>Precio Compra (€)</t>
        </is>
      </c>
      <c r="G5" s="4" t="inlineStr">
        <is>
          <t>Precio Venta (€)</t>
        </is>
      </c>
      <c r="H5" s="3" t="inlineStr">
        <is>
          <t>Comisión Plataforma (€)</t>
        </is>
      </c>
      <c r="I5" s="4" t="inlineStr">
        <is>
          <t>Envío/Portes (€)</t>
        </is>
      </c>
      <c r="J5" s="4" t="inlineStr">
        <is>
          <t>Beneficio Neto (€)</t>
        </is>
      </c>
      <c r="K5" s="4" t="inlineStr">
        <is>
          <t>% Margen</t>
        </is>
      </c>
    </row>
    <row r="6">
      <c r="B6" s="5" t="inlineStr">
        <is>
          <t>2026-02-15</t>
        </is>
      </c>
      <c r="C6" s="5" t="inlineStr">
        <is>
          <t>Cámara Vintage 35mm Olympus</t>
        </is>
      </c>
      <c r="D6" s="5" t="inlineStr">
        <is>
          <t>Wallapop</t>
        </is>
      </c>
      <c r="E6" s="5" t="inlineStr">
        <is>
          <t>Vendido</t>
        </is>
      </c>
      <c r="F6" s="6" t="n">
        <v>25</v>
      </c>
      <c r="G6" s="6" t="n">
        <v>75</v>
      </c>
      <c r="H6" s="6" t="n">
        <v>3.75</v>
      </c>
      <c r="I6" s="6" t="n">
        <v>4.5</v>
      </c>
      <c r="J6" s="6">
        <f>G6-F6-H6-I6</f>
        <v/>
      </c>
      <c r="K6" s="7">
        <f>J6/G6</f>
        <v/>
      </c>
    </row>
    <row r="7">
      <c r="B7" s="5" t="inlineStr">
        <is>
          <t>2026-02-18</t>
        </is>
      </c>
      <c r="C7" s="5" t="inlineStr">
        <is>
          <t>Chaqueta Cuero Retro</t>
        </is>
      </c>
      <c r="D7" s="5" t="inlineStr">
        <is>
          <t>Vinted</t>
        </is>
      </c>
      <c r="E7" s="5" t="inlineStr">
        <is>
          <t>Vendido</t>
        </is>
      </c>
      <c r="F7" s="6" t="n">
        <v>15</v>
      </c>
      <c r="G7" s="6" t="n">
        <v>48</v>
      </c>
      <c r="H7" s="6" t="n">
        <v>0</v>
      </c>
      <c r="I7" s="6" t="n">
        <v>2.5</v>
      </c>
      <c r="J7" s="6">
        <f>G7-F7-H7-I7</f>
        <v/>
      </c>
      <c r="K7" s="7">
        <f>J7/G7</f>
        <v/>
      </c>
    </row>
    <row r="8">
      <c r="B8" s="5" t="inlineStr">
        <is>
          <t>2026-02-22</t>
        </is>
      </c>
      <c r="C8" s="5" t="inlineStr">
        <is>
          <t>Auriculares Inalámbricos Pro</t>
        </is>
      </c>
      <c r="D8" s="5" t="inlineStr">
        <is>
          <t>Amazon</t>
        </is>
      </c>
      <c r="E8" s="5" t="inlineStr">
        <is>
          <t>Vendido</t>
        </is>
      </c>
      <c r="F8" s="6" t="n">
        <v>32</v>
      </c>
      <c r="G8" s="6" t="n">
        <v>79.90000000000001</v>
      </c>
      <c r="H8" s="6" t="n">
        <v>11.98</v>
      </c>
      <c r="I8" s="6" t="n">
        <v>5</v>
      </c>
      <c r="J8" s="6">
        <f>G8-F8-H8-I8</f>
        <v/>
      </c>
      <c r="K8" s="7">
        <f>J8/G8</f>
        <v/>
      </c>
    </row>
    <row r="9">
      <c r="B9" s="5" t="inlineStr">
        <is>
          <t>2026-02-25</t>
        </is>
      </c>
      <c r="C9" s="5" t="inlineStr">
        <is>
          <t>Juego Retro Game Boy</t>
        </is>
      </c>
      <c r="D9" s="5" t="inlineStr">
        <is>
          <t>eBay</t>
        </is>
      </c>
      <c r="E9" s="5" t="inlineStr">
        <is>
          <t>En Stock / Almacén</t>
        </is>
      </c>
      <c r="F9" s="6" t="n">
        <v>12</v>
      </c>
      <c r="G9" s="6" t="n">
        <v>45</v>
      </c>
      <c r="H9" s="6" t="n">
        <v>0</v>
      </c>
      <c r="I9" s="6" t="n">
        <v>0</v>
      </c>
      <c r="J9" s="6" t="n">
        <v>0</v>
      </c>
      <c r="K9" s="7" t="n">
        <v>0</v>
      </c>
    </row>
  </sheetData>
  <conditionalFormatting sqref="E6:E100">
    <cfRule type="cellIs" priority="1" operator="equal" dxfId="0" stopIfTrue="1">
      <formula>"Vendido"</formula>
    </cfRule>
    <cfRule type="cellIs" priority="2" operator="equal" dxfId="1" stopIfTrue="1">
      <formula>"En Stock / Almacén"</formula>
    </cfRule>
    <cfRule type="cellIs" priority="3" operator="equal" dxfId="2" stopIfTrue="1">
      <formula>"Devuelto"</formula>
    </cfRule>
  </conditionalFormatting>
  <dataValidations count="2">
    <dataValidation sqref="D6:D100" showDropDown="0" showInputMessage="0" showErrorMessage="0" allowBlank="1" type="list">
      <formula1>"Wallapop,Vinted,Amazon,eBay,Milanuncios,Etsy,Shopify"</formula1>
    </dataValidation>
    <dataValidation sqref="E6:E100" showDropDown="0" showInputMessage="0" showErrorMessage="0" allowBlank="1" type="list">
      <formula1>"Vendido,En Stock / Almacén,Reservado,Enviado,Devuelto"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2026-10-15T14:51:12Z</dcterms:created>
  <dcterms:modified xmlns:dcterms="http://purl.org/dc/terms/" xmlns:xsi="http://www.w3.org/2001/XMLSchema-instance" xsi:type="dcterms:W3CDTF">2026-10-15T14:51:12Z</dcterms:modified>
</cp:coreProperties>
</file>