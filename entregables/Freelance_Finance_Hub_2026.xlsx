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Anual" sheetId="1" state="visible" r:id="rId1"/>
    <sheet xmlns:r="http://schemas.openxmlformats.org/officeDocument/2006/relationships" name="💰 Ingresos" sheetId="2" state="visible" r:id="rId2"/>
    <sheet xmlns:r="http://schemas.openxmlformats.org/officeDocument/2006/relationships" name="📉 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312E81"/>
        <bgColor rgb="00312E8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164" fontId="4" fillId="2" borderId="1" pivotButton="0" quotePrefix="0" xfId="0"/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pivotButton="0" quotePrefix="0" xfId="0"/>
    <xf numFmtId="0" fontId="7" fillId="0" borderId="2" pivotButton="0" quotePrefix="0" xfId="0"/>
    <xf numFmtId="164" fontId="7" fillId="0" borderId="2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9" fontId="6" fillId="0" borderId="1" pivotButton="0" quotePrefix="0" xfId="0"/>
    <xf numFmtId="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</cellXfs>
  <cellStyles count="1">
    <cellStyle name="Normal" xfId="0" builtinId="0" hidden="0"/>
  </cellStyles>
  <dxfs count="2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/>
    <row r="2">
      <c r="B2" s="1" t="inlineStr">
        <is>
          <t>FREELANCE FINANCE HUB 2026</t>
        </is>
      </c>
    </row>
    <row r="3">
      <c r="B3" s="2" t="inlineStr">
        <is>
          <t>Control fiscal y financiero para autónomos y freelancers en España</t>
        </is>
      </c>
    </row>
    <row r="4"/>
    <row r="5">
      <c r="B5" s="3" t="inlineStr">
        <is>
          <t>INGRESOS TOTALES (BASE)</t>
        </is>
      </c>
      <c r="C5" s="4" t="n"/>
      <c r="E5" s="3" t="inlineStr">
        <is>
          <t>GASTOS TOTALES (BASE)</t>
        </is>
      </c>
      <c r="F5" s="4" t="n"/>
      <c r="H5" s="3" t="inlineStr">
        <is>
          <t>BENEFICIO NETO ANTES IMPUESTOS</t>
        </is>
      </c>
      <c r="I5" s="4" t="n"/>
      <c r="K5" s="3" t="inlineStr">
        <is>
          <t>PREVISIÓN IVA A PAGAR (HACIENDA)</t>
        </is>
      </c>
      <c r="L5" s="4" t="n"/>
    </row>
    <row r="6">
      <c r="B6" s="5">
        <f>SUM('💰 Ingresos'!E5:E100)</f>
        <v/>
      </c>
      <c r="C6" s="4" t="n"/>
      <c r="E6" s="5">
        <f>SUM('📉 Gastos'!E5:E100)</f>
        <v/>
      </c>
      <c r="F6" s="4" t="n"/>
      <c r="H6" s="5">
        <f>B6-E6</f>
        <v/>
      </c>
      <c r="I6" s="4" t="n"/>
      <c r="K6" s="5">
        <f>SUM('💰 Ingresos'!G5:G100)-SUM('📉 Gastos'!F5:F100)</f>
        <v/>
      </c>
      <c r="L6" s="4" t="n"/>
    </row>
    <row r="7"/>
    <row r="8"/>
    <row r="9">
      <c r="B9" s="6" t="inlineStr">
        <is>
          <t>Mes</t>
        </is>
      </c>
      <c r="C9" s="7" t="inlineStr">
        <is>
          <t>Ingresos Brutos</t>
        </is>
      </c>
      <c r="D9" s="7" t="inlineStr">
        <is>
          <t>Gastos Totales</t>
        </is>
      </c>
      <c r="E9" s="7" t="inlineStr">
        <is>
          <t>Beneficio Neto</t>
        </is>
      </c>
      <c r="F9" s="7" t="inlineStr">
        <is>
          <t>IVA Repercutido</t>
        </is>
      </c>
      <c r="G9" s="7" t="inlineStr">
        <is>
          <t>IVA Soportado</t>
        </is>
      </c>
    </row>
    <row r="10">
      <c r="B10" s="8" t="inlineStr">
        <is>
          <t>Enero</t>
        </is>
      </c>
      <c r="C10" s="9">
        <f>SUMIFS('💰 Ingresos'!E:E, '💰 Ingresos'!A:A, "&gt;="&amp;DATE(2026,1,1), '💰 Ingresos'!A:A, "&lt;="&amp;EOMONTH(DATE(2026,1,1),0))</f>
        <v/>
      </c>
      <c r="D10" s="9">
        <f>SUMIFS('📉 Gastos'!E:E, '📉 Gastos'!A:A, "&gt;="&amp;DATE(2026,1,1), '📉 Gastos'!A:A, "&lt;="&amp;EOMONTH(DATE(2026,1,1),0))</f>
        <v/>
      </c>
      <c r="E10" s="9">
        <f>C10-D10</f>
        <v/>
      </c>
      <c r="F10" s="9">
        <f>SUMIFS('💰 Ingresos'!G:G, '💰 Ingresos'!A:A, "&gt;="&amp;DATE(2026,1,1), '💰 Ingresos'!A:A, "&lt;="&amp;EOMONTH(DATE(2026,1,1),0))</f>
        <v/>
      </c>
      <c r="G10" s="9">
        <f>SUMIFS('📉 Gastos'!F:F, '📉 Gastos'!A:A, "&gt;="&amp;DATE(2026,1,1), '📉 Gastos'!A:A, "&lt;="&amp;EOMONTH(DATE(2026,1,1),0))</f>
        <v/>
      </c>
    </row>
    <row r="11">
      <c r="B11" s="8" t="inlineStr">
        <is>
          <t>Febrero</t>
        </is>
      </c>
      <c r="C11" s="9">
        <f>SUMIFS('💰 Ingresos'!E:E, '💰 Ingresos'!A:A, "&gt;="&amp;DATE(2026,2,1), '💰 Ingresos'!A:A, "&lt;="&amp;EOMONTH(DATE(2026,2,1),0))</f>
        <v/>
      </c>
      <c r="D11" s="9">
        <f>SUMIFS('📉 Gastos'!E:E, '📉 Gastos'!A:A, "&gt;="&amp;DATE(2026,2,1), '📉 Gastos'!A:A, "&lt;="&amp;EOMONTH(DATE(2026,2,1),0))</f>
        <v/>
      </c>
      <c r="E11" s="9">
        <f>C11-D11</f>
        <v/>
      </c>
      <c r="F11" s="9">
        <f>SUMIFS('💰 Ingresos'!G:G, '💰 Ingresos'!A:A, "&gt;="&amp;DATE(2026,2,1), '💰 Ingresos'!A:A, "&lt;="&amp;EOMONTH(DATE(2026,2,1),0))</f>
        <v/>
      </c>
      <c r="G11" s="9">
        <f>SUMIFS('📉 Gastos'!F:F, '📉 Gastos'!A:A, "&gt;="&amp;DATE(2026,2,1), '📉 Gastos'!A:A, "&lt;="&amp;EOMONTH(DATE(2026,2,1),0))</f>
        <v/>
      </c>
    </row>
    <row r="12">
      <c r="B12" s="8" t="inlineStr">
        <is>
          <t>Marzo</t>
        </is>
      </c>
      <c r="C12" s="9">
        <f>SUMIFS('💰 Ingresos'!E:E, '💰 Ingresos'!A:A, "&gt;="&amp;DATE(2026,3,1), '💰 Ingresos'!A:A, "&lt;="&amp;EOMONTH(DATE(2026,3,1),0))</f>
        <v/>
      </c>
      <c r="D12" s="9">
        <f>SUMIFS('📉 Gastos'!E:E, '📉 Gastos'!A:A, "&gt;="&amp;DATE(2026,3,1), '📉 Gastos'!A:A, "&lt;="&amp;EOMONTH(DATE(2026,3,1),0))</f>
        <v/>
      </c>
      <c r="E12" s="9">
        <f>C12-D12</f>
        <v/>
      </c>
      <c r="F12" s="9">
        <f>SUMIFS('💰 Ingresos'!G:G, '💰 Ingresos'!A:A, "&gt;="&amp;DATE(2026,3,1), '💰 Ingresos'!A:A, "&lt;="&amp;EOMONTH(DATE(2026,3,1),0))</f>
        <v/>
      </c>
      <c r="G12" s="9">
        <f>SUMIFS('📉 Gastos'!F:F, '📉 Gastos'!A:A, "&gt;="&amp;DATE(2026,3,1), '📉 Gastos'!A:A, "&lt;="&amp;EOMONTH(DATE(2026,3,1),0))</f>
        <v/>
      </c>
    </row>
    <row r="13">
      <c r="B13" s="8" t="inlineStr">
        <is>
          <t>Abril</t>
        </is>
      </c>
      <c r="C13" s="9">
        <f>SUMIFS('💰 Ingresos'!E:E, '💰 Ingresos'!A:A, "&gt;="&amp;DATE(2026,4,1), '💰 Ingresos'!A:A, "&lt;="&amp;EOMONTH(DATE(2026,4,1),0))</f>
        <v/>
      </c>
      <c r="D13" s="9">
        <f>SUMIFS('📉 Gastos'!E:E, '📉 Gastos'!A:A, "&gt;="&amp;DATE(2026,4,1), '📉 Gastos'!A:A, "&lt;="&amp;EOMONTH(DATE(2026,4,1),0))</f>
        <v/>
      </c>
      <c r="E13" s="9">
        <f>C13-D13</f>
        <v/>
      </c>
      <c r="F13" s="9">
        <f>SUMIFS('💰 Ingresos'!G:G, '💰 Ingresos'!A:A, "&gt;="&amp;DATE(2026,4,1), '💰 Ingresos'!A:A, "&lt;="&amp;EOMONTH(DATE(2026,4,1),0))</f>
        <v/>
      </c>
      <c r="G13" s="9">
        <f>SUMIFS('📉 Gastos'!F:F, '📉 Gastos'!A:A, "&gt;="&amp;DATE(2026,4,1), '📉 Gastos'!A:A, "&lt;="&amp;EOMONTH(DATE(2026,4,1),0))</f>
        <v/>
      </c>
    </row>
    <row r="14">
      <c r="B14" s="8" t="inlineStr">
        <is>
          <t>Mayo</t>
        </is>
      </c>
      <c r="C14" s="9">
        <f>SUMIFS('💰 Ingresos'!E:E, '💰 Ingresos'!A:A, "&gt;="&amp;DATE(2026,5,1), '💰 Ingresos'!A:A, "&lt;="&amp;EOMONTH(DATE(2026,5,1),0))</f>
        <v/>
      </c>
      <c r="D14" s="9">
        <f>SUMIFS('📉 Gastos'!E:E, '📉 Gastos'!A:A, "&gt;="&amp;DATE(2026,5,1), '📉 Gastos'!A:A, "&lt;="&amp;EOMONTH(DATE(2026,5,1),0))</f>
        <v/>
      </c>
      <c r="E14" s="9">
        <f>C14-D14</f>
        <v/>
      </c>
      <c r="F14" s="9">
        <f>SUMIFS('💰 Ingresos'!G:G, '💰 Ingresos'!A:A, "&gt;="&amp;DATE(2026,5,1), '💰 Ingresos'!A:A, "&lt;="&amp;EOMONTH(DATE(2026,5,1),0))</f>
        <v/>
      </c>
      <c r="G14" s="9">
        <f>SUMIFS('📉 Gastos'!F:F, '📉 Gastos'!A:A, "&gt;="&amp;DATE(2026,5,1), '📉 Gastos'!A:A, "&lt;="&amp;EOMONTH(DATE(2026,5,1),0))</f>
        <v/>
      </c>
    </row>
    <row r="15">
      <c r="B15" s="8" t="inlineStr">
        <is>
          <t>Junio</t>
        </is>
      </c>
      <c r="C15" s="9">
        <f>SUMIFS('💰 Ingresos'!E:E, '💰 Ingresos'!A:A, "&gt;="&amp;DATE(2026,6,1), '💰 Ingresos'!A:A, "&lt;="&amp;EOMONTH(DATE(2026,6,1),0))</f>
        <v/>
      </c>
      <c r="D15" s="9">
        <f>SUMIFS('📉 Gastos'!E:E, '📉 Gastos'!A:A, "&gt;="&amp;DATE(2026,6,1), '📉 Gastos'!A:A, "&lt;="&amp;EOMONTH(DATE(2026,6,1),0))</f>
        <v/>
      </c>
      <c r="E15" s="9">
        <f>C15-D15</f>
        <v/>
      </c>
      <c r="F15" s="9">
        <f>SUMIFS('💰 Ingresos'!G:G, '💰 Ingresos'!A:A, "&gt;="&amp;DATE(2026,6,1), '💰 Ingresos'!A:A, "&lt;="&amp;EOMONTH(DATE(2026,6,1),0))</f>
        <v/>
      </c>
      <c r="G15" s="9">
        <f>SUMIFS('📉 Gastos'!F:F, '📉 Gastos'!A:A, "&gt;="&amp;DATE(2026,6,1), '📉 Gastos'!A:A, "&lt;="&amp;EOMONTH(DATE(2026,6,1),0))</f>
        <v/>
      </c>
    </row>
    <row r="16">
      <c r="B16" s="8" t="inlineStr">
        <is>
          <t>Julio</t>
        </is>
      </c>
      <c r="C16" s="9">
        <f>SUMIFS('💰 Ingresos'!E:E, '💰 Ingresos'!A:A, "&gt;="&amp;DATE(2026,7,1), '💰 Ingresos'!A:A, "&lt;="&amp;EOMONTH(DATE(2026,7,1),0))</f>
        <v/>
      </c>
      <c r="D16" s="9">
        <f>SUMIFS('📉 Gastos'!E:E, '📉 Gastos'!A:A, "&gt;="&amp;DATE(2026,7,1), '📉 Gastos'!A:A, "&lt;="&amp;EOMONTH(DATE(2026,7,1),0))</f>
        <v/>
      </c>
      <c r="E16" s="9">
        <f>C16-D16</f>
        <v/>
      </c>
      <c r="F16" s="9">
        <f>SUMIFS('💰 Ingresos'!G:G, '💰 Ingresos'!A:A, "&gt;="&amp;DATE(2026,7,1), '💰 Ingresos'!A:A, "&lt;="&amp;EOMONTH(DATE(2026,7,1),0))</f>
        <v/>
      </c>
      <c r="G16" s="9">
        <f>SUMIFS('📉 Gastos'!F:F, '📉 Gastos'!A:A, "&gt;="&amp;DATE(2026,7,1), '📉 Gastos'!A:A, "&lt;="&amp;EOMONTH(DATE(2026,7,1),0))</f>
        <v/>
      </c>
    </row>
    <row r="17">
      <c r="B17" s="8" t="inlineStr">
        <is>
          <t>Agosto</t>
        </is>
      </c>
      <c r="C17" s="9">
        <f>SUMIFS('💰 Ingresos'!E:E, '💰 Ingresos'!A:A, "&gt;="&amp;DATE(2026,8,1), '💰 Ingresos'!A:A, "&lt;="&amp;EOMONTH(DATE(2026,8,1),0))</f>
        <v/>
      </c>
      <c r="D17" s="9">
        <f>SUMIFS('📉 Gastos'!E:E, '📉 Gastos'!A:A, "&gt;="&amp;DATE(2026,8,1), '📉 Gastos'!A:A, "&lt;="&amp;EOMONTH(DATE(2026,8,1),0))</f>
        <v/>
      </c>
      <c r="E17" s="9">
        <f>C17-D17</f>
        <v/>
      </c>
      <c r="F17" s="9">
        <f>SUMIFS('💰 Ingresos'!G:G, '💰 Ingresos'!A:A, "&gt;="&amp;DATE(2026,8,1), '💰 Ingresos'!A:A, "&lt;="&amp;EOMONTH(DATE(2026,8,1),0))</f>
        <v/>
      </c>
      <c r="G17" s="9">
        <f>SUMIFS('📉 Gastos'!F:F, '📉 Gastos'!A:A, "&gt;="&amp;DATE(2026,8,1), '📉 Gastos'!A:A, "&lt;="&amp;EOMONTH(DATE(2026,8,1),0))</f>
        <v/>
      </c>
    </row>
    <row r="18">
      <c r="B18" s="8" t="inlineStr">
        <is>
          <t>Septiembre</t>
        </is>
      </c>
      <c r="C18" s="9">
        <f>SUMIFS('💰 Ingresos'!E:E, '💰 Ingresos'!A:A, "&gt;="&amp;DATE(2026,9,1), '💰 Ingresos'!A:A, "&lt;="&amp;EOMONTH(DATE(2026,9,1),0))</f>
        <v/>
      </c>
      <c r="D18" s="9">
        <f>SUMIFS('📉 Gastos'!E:E, '📉 Gastos'!A:A, "&gt;="&amp;DATE(2026,9,1), '📉 Gastos'!A:A, "&lt;="&amp;EOMONTH(DATE(2026,9,1),0))</f>
        <v/>
      </c>
      <c r="E18" s="9">
        <f>C18-D18</f>
        <v/>
      </c>
      <c r="F18" s="9">
        <f>SUMIFS('💰 Ingresos'!G:G, '💰 Ingresos'!A:A, "&gt;="&amp;DATE(2026,9,1), '💰 Ingresos'!A:A, "&lt;="&amp;EOMONTH(DATE(2026,9,1),0))</f>
        <v/>
      </c>
      <c r="G18" s="9">
        <f>SUMIFS('📉 Gastos'!F:F, '📉 Gastos'!A:A, "&gt;="&amp;DATE(2026,9,1), '📉 Gastos'!A:A, "&lt;="&amp;EOMONTH(DATE(2026,9,1),0))</f>
        <v/>
      </c>
    </row>
    <row r="19">
      <c r="B19" s="8" t="inlineStr">
        <is>
          <t>Octubre</t>
        </is>
      </c>
      <c r="C19" s="9">
        <f>SUMIFS('💰 Ingresos'!E:E, '💰 Ingresos'!A:A, "&gt;="&amp;DATE(2026,10,1), '💰 Ingresos'!A:A, "&lt;="&amp;EOMONTH(DATE(2026,10,1),0))</f>
        <v/>
      </c>
      <c r="D19" s="9">
        <f>SUMIFS('📉 Gastos'!E:E, '📉 Gastos'!A:A, "&gt;="&amp;DATE(2026,10,1), '📉 Gastos'!A:A, "&lt;="&amp;EOMONTH(DATE(2026,10,1),0))</f>
        <v/>
      </c>
      <c r="E19" s="9">
        <f>C19-D19</f>
        <v/>
      </c>
      <c r="F19" s="9">
        <f>SUMIFS('💰 Ingresos'!G:G, '💰 Ingresos'!A:A, "&gt;="&amp;DATE(2026,10,1), '💰 Ingresos'!A:A, "&lt;="&amp;EOMONTH(DATE(2026,10,1),0))</f>
        <v/>
      </c>
      <c r="G19" s="9">
        <f>SUMIFS('📉 Gastos'!F:F, '📉 Gastos'!A:A, "&gt;="&amp;DATE(2026,10,1), '📉 Gastos'!A:A, "&lt;="&amp;EOMONTH(DATE(2026,10,1),0))</f>
        <v/>
      </c>
    </row>
    <row r="20">
      <c r="B20" s="8" t="inlineStr">
        <is>
          <t>Noviembre</t>
        </is>
      </c>
      <c r="C20" s="9">
        <f>SUMIFS('💰 Ingresos'!E:E, '💰 Ingresos'!A:A, "&gt;="&amp;DATE(2026,11,1), '💰 Ingresos'!A:A, "&lt;="&amp;EOMONTH(DATE(2026,11,1),0))</f>
        <v/>
      </c>
      <c r="D20" s="9">
        <f>SUMIFS('📉 Gastos'!E:E, '📉 Gastos'!A:A, "&gt;="&amp;DATE(2026,11,1), '📉 Gastos'!A:A, "&lt;="&amp;EOMONTH(DATE(2026,11,1),0))</f>
        <v/>
      </c>
      <c r="E20" s="9">
        <f>C20-D20</f>
        <v/>
      </c>
      <c r="F20" s="9">
        <f>SUMIFS('💰 Ingresos'!G:G, '💰 Ingresos'!A:A, "&gt;="&amp;DATE(2026,11,1), '💰 Ingresos'!A:A, "&lt;="&amp;EOMONTH(DATE(2026,11,1),0))</f>
        <v/>
      </c>
      <c r="G20" s="9">
        <f>SUMIFS('📉 Gastos'!F:F, '📉 Gastos'!A:A, "&gt;="&amp;DATE(2026,11,1), '📉 Gastos'!A:A, "&lt;="&amp;EOMONTH(DATE(2026,11,1),0))</f>
        <v/>
      </c>
    </row>
    <row r="21">
      <c r="B21" s="8" t="inlineStr">
        <is>
          <t>Diciembre</t>
        </is>
      </c>
      <c r="C21" s="9">
        <f>SUMIFS('💰 Ingresos'!E:E, '💰 Ingresos'!A:A, "&gt;="&amp;DATE(2026,12,1), '💰 Ingresos'!A:A, "&lt;="&amp;EOMONTH(DATE(2026,12,1),0))</f>
        <v/>
      </c>
      <c r="D21" s="9">
        <f>SUMIFS('📉 Gastos'!E:E, '📉 Gastos'!A:A, "&gt;="&amp;DATE(2026,12,1), '📉 Gastos'!A:A, "&lt;="&amp;EOMONTH(DATE(2026,12,1),0))</f>
        <v/>
      </c>
      <c r="E21" s="9">
        <f>C21-D21</f>
        <v/>
      </c>
      <c r="F21" s="9">
        <f>SUMIFS('💰 Ingresos'!G:G, '💰 Ingresos'!A:A, "&gt;="&amp;DATE(2026,12,1), '💰 Ingresos'!A:A, "&lt;="&amp;EOMONTH(DATE(2026,12,1),0))</f>
        <v/>
      </c>
      <c r="G21" s="9">
        <f>SUMIFS('📉 Gastos'!F:F, '📉 Gastos'!A:A, "&gt;="&amp;DATE(2026,12,1), '📉 Gastos'!A:A, "&lt;="&amp;EOMONTH(DATE(2026,12,1),0))</f>
        <v/>
      </c>
    </row>
    <row r="22">
      <c r="B22" s="10" t="inlineStr">
        <is>
          <t>TOTAL ANUAL</t>
        </is>
      </c>
      <c r="C22" s="11">
        <f>SUM(C10:C21)</f>
        <v/>
      </c>
      <c r="D22" s="11">
        <f>SUM(D10:D21)</f>
        <v/>
      </c>
      <c r="E22" s="11">
        <f>SUM(E10:E21)</f>
        <v/>
      </c>
      <c r="F22" s="11">
        <f>SUM(F10:F21)</f>
        <v/>
      </c>
      <c r="G22" s="11">
        <f>SUM(G10:G21)</f>
        <v/>
      </c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conditionalFormatting sqref="E10:E21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/>
    <row r="2">
      <c r="B2" s="1" t="inlineStr">
        <is>
          <t>REGISTRO DE FACTURAS EMITIDAS</t>
        </is>
      </c>
    </row>
    <row r="3"/>
    <row r="4">
      <c r="A4" s="12" t="inlineStr">
        <is>
          <t>Fecha</t>
        </is>
      </c>
      <c r="B4" s="13" t="inlineStr">
        <is>
          <t>Nº Factura</t>
        </is>
      </c>
      <c r="C4" s="13" t="inlineStr">
        <is>
          <t>Cliente</t>
        </is>
      </c>
      <c r="D4" s="13" t="inlineStr">
        <is>
          <t>Concepto</t>
        </is>
      </c>
      <c r="E4" s="13" t="inlineStr">
        <is>
          <t>Base Imponible (€)</t>
        </is>
      </c>
      <c r="F4" s="12" t="inlineStr">
        <is>
          <t>% IVA</t>
        </is>
      </c>
      <c r="G4" s="13" t="inlineStr">
        <is>
          <t>Cuota IVA (€)</t>
        </is>
      </c>
      <c r="H4" s="12" t="inlineStr">
        <is>
          <t>% IRPF</t>
        </is>
      </c>
      <c r="I4" s="13" t="inlineStr">
        <is>
          <t>Retención IRPF (€)</t>
        </is>
      </c>
      <c r="J4" s="13" t="inlineStr">
        <is>
          <t>Total Factura (€)</t>
        </is>
      </c>
    </row>
    <row r="5">
      <c r="A5" s="8" t="inlineStr">
        <is>
          <t>2026-01-15</t>
        </is>
      </c>
      <c r="B5" s="8" t="inlineStr">
        <is>
          <t>FAC-2026-001</t>
        </is>
      </c>
      <c r="C5" s="8" t="inlineStr">
        <is>
          <t>Acme Corp S.L.</t>
        </is>
      </c>
      <c r="D5" s="8" t="inlineStr">
        <is>
          <t>Consultoría Estratégica Enero</t>
        </is>
      </c>
      <c r="E5" s="9" t="n">
        <v>1500</v>
      </c>
      <c r="F5" s="14" t="n">
        <v>0.21</v>
      </c>
      <c r="G5" s="9">
        <f>E5*F5</f>
        <v/>
      </c>
      <c r="H5" s="14" t="n">
        <v>0.15</v>
      </c>
      <c r="I5" s="9">
        <f>E5*H5</f>
        <v/>
      </c>
      <c r="J5" s="9">
        <f>E5+G5-I5</f>
        <v/>
      </c>
    </row>
    <row r="6">
      <c r="A6" s="8" t="inlineStr">
        <is>
          <t>2026-01-28</t>
        </is>
      </c>
      <c r="B6" s="8" t="inlineStr">
        <is>
          <t>FAC-2026-002</t>
        </is>
      </c>
      <c r="C6" s="8" t="inlineStr">
        <is>
          <t>Studio Design S.L.</t>
        </is>
      </c>
      <c r="D6" s="8" t="inlineStr">
        <is>
          <t>Desarrollo Web Frontend</t>
        </is>
      </c>
      <c r="E6" s="9" t="n">
        <v>2200</v>
      </c>
      <c r="F6" s="14" t="n">
        <v>0.21</v>
      </c>
      <c r="G6" s="9">
        <f>E6*F6</f>
        <v/>
      </c>
      <c r="H6" s="14" t="n">
        <v>0.15</v>
      </c>
      <c r="I6" s="9">
        <f>E6*H6</f>
        <v/>
      </c>
      <c r="J6" s="9">
        <f>E6+G6-I6</f>
        <v/>
      </c>
    </row>
    <row r="7">
      <c r="A7" s="8" t="inlineStr">
        <is>
          <t>2026-02-10</t>
        </is>
      </c>
      <c r="B7" s="8" t="inlineStr">
        <is>
          <t>FAC-2026-003</t>
        </is>
      </c>
      <c r="C7" s="8" t="inlineStr">
        <is>
          <t>Innovatech Europa</t>
        </is>
      </c>
      <c r="D7" s="8" t="inlineStr">
        <is>
          <t>Mantenimiento Mensual</t>
        </is>
      </c>
      <c r="E7" s="9" t="n">
        <v>800</v>
      </c>
      <c r="F7" s="14" t="n">
        <v>0.21</v>
      </c>
      <c r="G7" s="9">
        <f>E7*F7</f>
        <v/>
      </c>
      <c r="H7" s="14" t="n">
        <v>0.07000000000000001</v>
      </c>
      <c r="I7" s="9">
        <f>E7*H7</f>
        <v/>
      </c>
      <c r="J7" s="9">
        <f>E7+G7-I7</f>
        <v/>
      </c>
    </row>
  </sheetData>
  <dataValidations count="2">
    <dataValidation sqref="F5:F100" showDropDown="0" showInputMessage="0" showErrorMessage="0" allowBlank="1" type="list">
      <formula1>"21%,10%,4%,0%"</formula1>
    </dataValidation>
    <dataValidation sqref="H5:H100" showDropDown="0" showInputMessage="0" showErrorMessage="0" allowBlank="1" type="list">
      <formula1>"15%,7%,0%"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/>
    <row r="2">
      <c r="B2" s="1" t="inlineStr">
        <is>
          <t>REGISTRO DE GASTOS Y DEDUCCIONES</t>
        </is>
      </c>
    </row>
    <row r="3"/>
    <row r="4">
      <c r="A4" s="15" t="inlineStr">
        <is>
          <t>Fecha</t>
        </is>
      </c>
      <c r="B4" s="16" t="inlineStr">
        <is>
          <t>Nº Factura / Ticket</t>
        </is>
      </c>
      <c r="C4" s="16" t="inlineStr">
        <is>
          <t>Proveedor</t>
        </is>
      </c>
      <c r="D4" s="16" t="inlineStr">
        <is>
          <t>Categoría Deducible</t>
        </is>
      </c>
      <c r="E4" s="16" t="inlineStr">
        <is>
          <t>Base Imponible (€)</t>
        </is>
      </c>
      <c r="F4" s="16" t="inlineStr">
        <is>
          <t>IVA Deducible (€)</t>
        </is>
      </c>
      <c r="G4" s="16" t="inlineStr">
        <is>
          <t>Total Pagado (€)</t>
        </is>
      </c>
    </row>
    <row r="5">
      <c r="A5" s="8" t="inlineStr">
        <is>
          <t>2026-01-05</t>
        </is>
      </c>
      <c r="B5" s="8" t="inlineStr">
        <is>
          <t>EXP-01</t>
        </is>
      </c>
      <c r="C5" s="8" t="inlineStr">
        <is>
          <t>Seguridad Social</t>
        </is>
      </c>
      <c r="D5" s="8" t="inlineStr">
        <is>
          <t>Cuota Autónomos</t>
        </is>
      </c>
      <c r="E5" s="9" t="n">
        <v>294</v>
      </c>
      <c r="F5" s="9" t="n">
        <v>0</v>
      </c>
      <c r="G5" s="9" t="n">
        <v>294</v>
      </c>
    </row>
    <row r="6">
      <c r="A6" s="8" t="inlineStr">
        <is>
          <t>2026-01-10</t>
        </is>
      </c>
      <c r="B6" s="8" t="inlineStr">
        <is>
          <t>EXP-02</t>
        </is>
      </c>
      <c r="C6" s="8" t="inlineStr">
        <is>
          <t>Adobe Creative Cloud</t>
        </is>
      </c>
      <c r="D6" s="8" t="inlineStr">
        <is>
          <t>Software / SaaS</t>
        </is>
      </c>
      <c r="E6" s="9" t="n">
        <v>62.99</v>
      </c>
      <c r="F6" s="9" t="n">
        <v>13.23</v>
      </c>
      <c r="G6" s="9" t="n">
        <v>76.22</v>
      </c>
    </row>
    <row r="7">
      <c r="A7" s="8" t="inlineStr">
        <is>
          <t>2026-01-20</t>
        </is>
      </c>
      <c r="B7" s="8" t="inlineStr">
        <is>
          <t>EXP-03</t>
        </is>
      </c>
      <c r="C7" s="8" t="inlineStr">
        <is>
          <t>Asesoría Fiscal Online</t>
        </is>
      </c>
      <c r="D7" s="8" t="inlineStr">
        <is>
          <t>Gestoría / Legal</t>
        </is>
      </c>
      <c r="E7" s="9" t="n">
        <v>75</v>
      </c>
      <c r="F7" s="9" t="n">
        <v>15.75</v>
      </c>
      <c r="G7" s="9" t="n">
        <v>90.75</v>
      </c>
    </row>
    <row r="8">
      <c r="A8" s="8" t="inlineStr">
        <is>
          <t>2026-01-25</t>
        </is>
      </c>
      <c r="B8" s="8" t="inlineStr">
        <is>
          <t>EXP-04</t>
        </is>
      </c>
      <c r="C8" s="8" t="inlineStr">
        <is>
          <t>Vodafone Fibra</t>
        </is>
      </c>
      <c r="D8" s="8" t="inlineStr">
        <is>
          <t>Suministros (Luz/Internet)</t>
        </is>
      </c>
      <c r="E8" s="9" t="n">
        <v>45</v>
      </c>
      <c r="F8" s="9" t="n">
        <v>9.449999999999999</v>
      </c>
      <c r="G8" s="9" t="n">
        <v>54.45</v>
      </c>
    </row>
  </sheetData>
  <dataValidations count="1">
    <dataValidation sqref="D5:D100" showDropDown="0" showInputMessage="0" showErrorMessage="0" allowBlank="1" type="list">
      <formula1>"Cuota Autónomos,Software / SaaS,Gestoría / Legal,Suministros (Luz/Internet),Material / Hardware,Marketing / Publicidad,Viajes / Dietas,Otros"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2026-10-15T14:51:11Z</dcterms:created>
  <dcterms:modified xmlns:dcterms="http://purl.org/dc/terms/" xmlns:xsi="http://www.w3.org/2001/XMLSchema-instance" xsi:type="dcterms:W3CDTF">2026-10-15T14:51:11Z</dcterms:modified>
</cp:coreProperties>
</file>