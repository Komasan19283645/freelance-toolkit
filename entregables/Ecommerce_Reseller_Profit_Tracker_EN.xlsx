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Sales &amp;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E1B4B"/>
      <sz val="15"/>
    </font>
    <font>
      <name val="Calibri"/>
      <i val="1"/>
      <color rgb="006B7280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/>
    <row r="2">
      <c r="B2" s="1" t="inlineStr">
        <is>
          <t>RESELLER &amp; E-COMMERCE PROFIT TRACKER</t>
        </is>
      </c>
    </row>
    <row r="3">
      <c r="B3" s="2" t="inlineStr">
        <is>
          <t>Track purchase cost, platform fees (eBay, Poshmark, Mercari) and net margins per item</t>
        </is>
      </c>
    </row>
    <row r="4"/>
    <row r="5">
      <c r="B5" s="3" t="inlineStr">
        <is>
          <t>SKU / Item Name</t>
        </is>
      </c>
      <c r="C5" s="3" t="inlineStr">
        <is>
          <t>Purchase Date</t>
        </is>
      </c>
      <c r="D5" s="3" t="inlineStr">
        <is>
          <t>Buy Cost ($)</t>
        </is>
      </c>
      <c r="E5" s="3" t="inlineStr">
        <is>
          <t>Sale Platform</t>
        </is>
      </c>
      <c r="F5" s="3" t="inlineStr">
        <is>
          <t>Sale Price ($)</t>
        </is>
      </c>
      <c r="G5" s="3" t="inlineStr">
        <is>
          <t>Platform Fees ($)</t>
        </is>
      </c>
      <c r="H5" s="3" t="inlineStr">
        <is>
          <t>Shipping Cost ($)</t>
        </is>
      </c>
      <c r="I5" s="3" t="inlineStr">
        <is>
          <t>Net Profit ($)</t>
        </is>
      </c>
      <c r="J5" s="3" t="inlineStr">
        <is>
          <t>ROI %</t>
        </is>
      </c>
    </row>
    <row r="6">
      <c r="B6" s="4" t="inlineStr">
        <is>
          <t>Vintage Leather Jacket</t>
        </is>
      </c>
      <c r="C6" s="4" t="inlineStr">
        <is>
          <t>2026-01-10</t>
        </is>
      </c>
      <c r="D6" s="5" t="n">
        <v>25</v>
      </c>
      <c r="E6" s="4" t="inlineStr">
        <is>
          <t>eBay</t>
        </is>
      </c>
      <c r="F6" s="5" t="n">
        <v>110</v>
      </c>
      <c r="G6" s="5">
        <f>F6*0.13</f>
        <v/>
      </c>
      <c r="H6" s="5" t="n">
        <v>8.5</v>
      </c>
      <c r="I6" s="5">
        <f>F6-D6-G6-H6</f>
        <v/>
      </c>
      <c r="J6" s="6">
        <f>I6/D6</f>
        <v/>
      </c>
    </row>
    <row r="7">
      <c r="B7" s="4" t="inlineStr">
        <is>
          <t>Noise-Canceling Headphones</t>
        </is>
      </c>
      <c r="C7" s="4" t="inlineStr">
        <is>
          <t>2026-01-15</t>
        </is>
      </c>
      <c r="D7" s="5" t="n">
        <v>40</v>
      </c>
      <c r="E7" s="4" t="inlineStr">
        <is>
          <t>Poshmark</t>
        </is>
      </c>
      <c r="F7" s="5" t="n">
        <v>125</v>
      </c>
      <c r="G7" s="5">
        <f>F7*0.20</f>
        <v/>
      </c>
      <c r="H7" s="5" t="n">
        <v>0</v>
      </c>
      <c r="I7" s="5">
        <f>F7-D7-G7-H7</f>
        <v/>
      </c>
      <c r="J7" s="6">
        <f>I7/D7</f>
        <v/>
      </c>
    </row>
    <row r="8">
      <c r="B8" s="4" t="inlineStr">
        <is>
          <t>Mechanical Keyboard</t>
        </is>
      </c>
      <c r="C8" s="4" t="inlineStr">
        <is>
          <t>2026-01-20</t>
        </is>
      </c>
      <c r="D8" s="5" t="n">
        <v>35</v>
      </c>
      <c r="E8" s="4" t="inlineStr">
        <is>
          <t>Mercari</t>
        </is>
      </c>
      <c r="F8" s="5" t="n">
        <v>90</v>
      </c>
      <c r="G8" s="5">
        <f>F8*0.10</f>
        <v/>
      </c>
      <c r="H8" s="5" t="n">
        <v>6</v>
      </c>
      <c r="I8" s="5">
        <f>F8-D8-G8-H8</f>
        <v/>
      </c>
      <c r="J8" s="6">
        <f>I8/D8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2026-10-15T18:16:41Z</dcterms:created>
  <dcterms:modified xmlns:dcterms="http://purl.org/dc/terms/" xmlns:xsi="http://www.w3.org/2001/XMLSchema-instance" xsi:type="dcterms:W3CDTF">2026-10-15T18:16:41Z</dcterms:modified>
</cp:coreProperties>
</file>