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💼 Cotizador de Presu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5" fillId="0" borderId="2" pivotButton="0" quotePrefix="0" xfId="0"/>
    <xf numFmtId="0" fontId="0" fillId="0" borderId="2" applyAlignment="1" pivotButton="0" quotePrefix="0" xfId="0">
      <alignment horizontal="center"/>
    </xf>
    <xf numFmtId="164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/>
    <row r="2">
      <c r="B2" s="1" t="inlineStr">
        <is>
          <t>CALCULADORA AVANZADA DE PRESUPUESTOS &amp; MARGEN COMERCIAL</t>
        </is>
      </c>
    </row>
    <row r="3">
      <c r="B3" s="2" t="inlineStr">
        <is>
          <t>Desglose por fases, cálculo de tarifa/hora base, margen de contingencia y precio final formal</t>
        </is>
      </c>
    </row>
    <row r="4"/>
    <row r="5">
      <c r="B5" s="3" t="inlineStr">
        <is>
          <t>Fase del Proyecto</t>
        </is>
      </c>
      <c r="C5" s="3" t="inlineStr">
        <is>
          <t>Horas Estimadas</t>
        </is>
      </c>
      <c r="D5" s="3" t="inlineStr">
        <is>
          <t>Tarifa Base (€/h)</t>
        </is>
      </c>
      <c r="E5" s="3" t="inlineStr">
        <is>
          <t>Coste Mano de Obra (€)</t>
        </is>
      </c>
      <c r="F5" s="3" t="inlineStr">
        <is>
          <t>Costes Externos/Licencias (€)</t>
        </is>
      </c>
      <c r="G5" s="3" t="inlineStr">
        <is>
          <t>% Margen Imprevistos</t>
        </is>
      </c>
      <c r="H5" s="3" t="inlineStr">
        <is>
          <t>Colchón Contingencia (€)</t>
        </is>
      </c>
      <c r="I5" s="3" t="inlineStr">
        <is>
          <t>Precio Final Recomendado (€)</t>
        </is>
      </c>
    </row>
    <row r="6">
      <c r="B6" s="4" t="inlineStr">
        <is>
          <t>Fase 1: Auditoría y Estrategia</t>
        </is>
      </c>
      <c r="C6" s="4" t="n">
        <v>10</v>
      </c>
      <c r="D6" s="5" t="n">
        <v>45</v>
      </c>
      <c r="E6" s="5">
        <f>C6*D6</f>
        <v/>
      </c>
      <c r="F6" s="5" t="n">
        <v>0</v>
      </c>
      <c r="G6" s="6" t="n">
        <v>0.15</v>
      </c>
      <c r="H6" s="5">
        <f>E6*G6</f>
        <v/>
      </c>
      <c r="I6" s="5">
        <f>E6+F6+H6</f>
        <v/>
      </c>
    </row>
    <row r="7">
      <c r="B7" s="4" t="inlineStr">
        <is>
          <t>Fase 2: Prototipado y Wireframes</t>
        </is>
      </c>
      <c r="C7" s="4" t="n">
        <v>18</v>
      </c>
      <c r="D7" s="5" t="n">
        <v>45</v>
      </c>
      <c r="E7" s="5">
        <f>C7*D7</f>
        <v/>
      </c>
      <c r="F7" s="5" t="n">
        <v>50</v>
      </c>
      <c r="G7" s="6" t="n">
        <v>0.15</v>
      </c>
      <c r="H7" s="5">
        <f>(E7+F7)*G7</f>
        <v/>
      </c>
      <c r="I7" s="5">
        <f>E7+F7+H7</f>
        <v/>
      </c>
    </row>
    <row r="8">
      <c r="B8" s="4" t="inlineStr">
        <is>
          <t>Fase 3: Desarrollo Web y Backend</t>
        </is>
      </c>
      <c r="C8" s="4" t="n">
        <v>35</v>
      </c>
      <c r="D8" s="5" t="n">
        <v>45</v>
      </c>
      <c r="E8" s="5">
        <f>C8*D8</f>
        <v/>
      </c>
      <c r="F8" s="5" t="n">
        <v>120</v>
      </c>
      <c r="G8" s="6" t="n">
        <v>0.2</v>
      </c>
      <c r="H8" s="5">
        <f>(E8+F8)*G8</f>
        <v/>
      </c>
      <c r="I8" s="5">
        <f>E8+F8+H8</f>
        <v/>
      </c>
    </row>
    <row r="9">
      <c r="B9" s="4" t="inlineStr">
        <is>
          <t>Fase 4: Testing, Despliegue y Formación</t>
        </is>
      </c>
      <c r="C9" s="4" t="n">
        <v>10</v>
      </c>
      <c r="D9" s="5" t="n">
        <v>45</v>
      </c>
      <c r="E9" s="5">
        <f>C9*D9</f>
        <v/>
      </c>
      <c r="F9" s="5" t="n">
        <v>30</v>
      </c>
      <c r="G9" s="6" t="n">
        <v>0.15</v>
      </c>
      <c r="H9" s="5">
        <f>(E9+F9)*G9</f>
        <v/>
      </c>
      <c r="I9" s="5">
        <f>E9+F9+H9</f>
        <v/>
      </c>
    </row>
    <row r="10">
      <c r="B10" s="7" t="inlineStr">
        <is>
          <t>TOTAL PRESUPUESTO PROYECTO</t>
        </is>
      </c>
      <c r="C10" s="7">
        <f>SUM(C6:C9)</f>
        <v/>
      </c>
      <c r="D10" s="8" t="inlineStr">
        <is>
          <t>-</t>
        </is>
      </c>
      <c r="E10" s="9">
        <f>SUM(E6:E9)</f>
        <v/>
      </c>
      <c r="F10" s="9">
        <f>SUM(F6:F9)</f>
        <v/>
      </c>
      <c r="G10" s="10" t="n"/>
      <c r="H10" s="9">
        <f>SUM(H6:H9)</f>
        <v/>
      </c>
      <c r="I10" s="9">
        <f>SUM(I6:I9)</f>
        <v/>
      </c>
    </row>
  </sheetData>
  <dataValidations count="1">
    <dataValidation sqref="G6:G50" showDropDown="0" showInputMessage="0" showErrorMessage="0" allowBlank="1" type="list">
      <formula1>"10%,15%,20%,25%,30%"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2026-10-15T14:51:12Z</dcterms:created>
  <dcterms:modified xmlns:dcterms="http://purl.org/dc/terms/" xmlns:xsi="http://www.w3.org/2001/XMLSchema-instance" xsi:type="dcterms:W3CDTF">2026-10-15T14:51:12Z</dcterms:modified>
</cp:coreProperties>
</file>