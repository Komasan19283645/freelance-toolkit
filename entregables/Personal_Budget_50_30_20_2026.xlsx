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Presupuesto 50-30-20" sheetId="1" state="visible" r:id="rId1"/>
    <sheet xmlns:r="http://schemas.openxmlformats.org/officeDocument/2006/relationships" name="❄️ Calculadora Bola de Nie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64748B"/>
      <sz val="9"/>
    </font>
    <font>
      <name val="Segoe UI"/>
      <b val="1"/>
      <color rgb="00FFFFFF"/>
      <sz val="10"/>
    </font>
    <font>
      <name val="Segoe UI"/>
      <color rgb="001E293B"/>
      <sz val="10"/>
    </font>
    <font>
      <name val="Segoe U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B91C1C"/>
        <bgColor rgb="00B91C1C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0" borderId="2" pivotButton="0" quotePrefix="0" xfId="0"/>
    <xf numFmtId="164" fontId="5" fillId="0" borderId="2" pivotButton="0" quotePrefix="0" xfId="0"/>
    <xf numFmtId="0" fontId="3" fillId="3" borderId="0" pivotButton="0" quotePrefix="0" xfId="0"/>
    <xf numFmtId="165" fontId="4" fillId="0" borderId="1" pivotButton="0" quotePrefix="0" xfId="0"/>
  </cellXfs>
  <cellStyles count="1">
    <cellStyle name="Normal" xfId="0" builtinId="0" hidden="0"/>
  </cellStyles>
  <dxfs count="4">
    <dxf>
      <font>
        <name val="Segoe UI"/>
        <b val="1"/>
        <color rgb="00991B1B"/>
        <sz val="10"/>
      </font>
      <fill>
        <patternFill patternType="solid">
          <fgColor rgb="00FEE2E2"/>
          <bgColor rgb="00FEE2E2"/>
        </patternFill>
      </fill>
    </dxf>
    <dxf>
      <font>
        <name val="Segoe UI"/>
        <b val="1"/>
        <color rgb="00166534"/>
        <sz val="10"/>
      </font>
      <fill>
        <patternFill patternType="solid">
          <fgColor rgb="00DCFCE7"/>
          <bgColor rgb="00DCFCE7"/>
        </patternFill>
      </fill>
    </dxf>
    <dxf>
      <font>
        <name val="Segoe UI"/>
        <b val="1"/>
        <color rgb="001E40AF"/>
        <sz val="10"/>
      </font>
      <fill>
        <patternFill patternType="solid">
          <fgColor rgb="00DBEAFE"/>
          <bgColor rgb="00DBEAFE"/>
        </patternFill>
      </fill>
    </dxf>
    <dxf>
      <font>
        <name val="Segoe UI"/>
        <b val="1"/>
        <color rgb="0092400E"/>
        <sz val="10"/>
      </font>
      <fill>
        <patternFill patternType="solid">
          <fgColor rgb="00FEF3C7"/>
          <b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/>
    <row r="2">
      <c r="B2" s="1" t="inlineStr">
        <is>
          <t>PLANIFICADOR FINANCIERO 50/30/20 &amp; CONTROL DE GASTOS</t>
        </is>
      </c>
    </row>
    <row r="3">
      <c r="B3" s="2" t="inlineStr">
        <is>
          <t>Regla de oro: 50% Necesidades | 30% Deseos | 20% Ahorro e Inversión</t>
        </is>
      </c>
    </row>
    <row r="4"/>
    <row r="5">
      <c r="B5" s="3" t="inlineStr">
        <is>
          <t>Categoría 50/30/20</t>
        </is>
      </c>
      <c r="C5" s="3" t="inlineStr">
        <is>
          <t>Concepto de Gasto</t>
        </is>
      </c>
      <c r="D5" s="3" t="inlineStr">
        <is>
          <t>Presupuestado (€)</t>
        </is>
      </c>
      <c r="E5" s="3" t="inlineStr">
        <is>
          <t>Gasto Real (€)</t>
        </is>
      </c>
      <c r="F5" s="3" t="inlineStr">
        <is>
          <t>Diferencia (€)</t>
        </is>
      </c>
      <c r="G5" s="4" t="inlineStr">
        <is>
          <t>Estado Presupuesto</t>
        </is>
      </c>
    </row>
    <row r="6">
      <c r="B6" s="5" t="inlineStr">
        <is>
          <t>50% Necesidades</t>
        </is>
      </c>
      <c r="C6" s="5" t="inlineStr">
        <is>
          <t>Alquiler / Hipoteca</t>
        </is>
      </c>
      <c r="D6" s="6" t="n">
        <v>850</v>
      </c>
      <c r="E6" s="6" t="n">
        <v>850</v>
      </c>
      <c r="F6" s="6">
        <f>D6-E6</f>
        <v/>
      </c>
      <c r="G6" s="5" t="inlineStr">
        <is>
          <t>OK</t>
        </is>
      </c>
    </row>
    <row r="7">
      <c r="B7" s="5" t="inlineStr">
        <is>
          <t>50% Necesidades</t>
        </is>
      </c>
      <c r="C7" s="5" t="inlineStr">
        <is>
          <t>Supermercado y alimentación</t>
        </is>
      </c>
      <c r="D7" s="6" t="n">
        <v>350</v>
      </c>
      <c r="E7" s="6" t="n">
        <v>320</v>
      </c>
      <c r="F7" s="6">
        <f>D7-E7</f>
        <v/>
      </c>
      <c r="G7" s="5" t="inlineStr">
        <is>
          <t>Bajo Presupuesto</t>
        </is>
      </c>
    </row>
    <row r="8">
      <c r="B8" s="5" t="inlineStr">
        <is>
          <t>50% Necesidades</t>
        </is>
      </c>
      <c r="C8" s="5" t="inlineStr">
        <is>
          <t>Suministros (Luz, Agua, Fibra)</t>
        </is>
      </c>
      <c r="D8" s="6" t="n">
        <v>140</v>
      </c>
      <c r="E8" s="6" t="n">
        <v>165</v>
      </c>
      <c r="F8" s="6">
        <f>D8-E8</f>
        <v/>
      </c>
      <c r="G8" s="5" t="inlineStr">
        <is>
          <t>Excedido</t>
        </is>
      </c>
    </row>
    <row r="9">
      <c r="B9" s="5" t="inlineStr">
        <is>
          <t>30% Deseos</t>
        </is>
      </c>
      <c r="C9" s="5" t="inlineStr">
        <is>
          <t>Restaurantes, ocio y salidas</t>
        </is>
      </c>
      <c r="D9" s="6" t="n">
        <v>200</v>
      </c>
      <c r="E9" s="6" t="n">
        <v>180</v>
      </c>
      <c r="F9" s="6">
        <f>D9-E9</f>
        <v/>
      </c>
      <c r="G9" s="5" t="inlineStr">
        <is>
          <t>OK</t>
        </is>
      </c>
    </row>
    <row r="10">
      <c r="B10" s="5" t="inlineStr">
        <is>
          <t>30% Deseos</t>
        </is>
      </c>
      <c r="C10" s="5" t="inlineStr">
        <is>
          <t>Suscripciones (Netflix, Gym)</t>
        </is>
      </c>
      <c r="D10" s="6" t="n">
        <v>60</v>
      </c>
      <c r="E10" s="6" t="n">
        <v>60</v>
      </c>
      <c r="F10" s="6">
        <f>D10-E10</f>
        <v/>
      </c>
      <c r="G10" s="5" t="inlineStr">
        <is>
          <t>OK</t>
        </is>
      </c>
    </row>
    <row r="11">
      <c r="B11" s="5" t="inlineStr">
        <is>
          <t>30% Deseos</t>
        </is>
      </c>
      <c r="C11" s="5" t="inlineStr">
        <is>
          <t>Viajes y escapadas</t>
        </is>
      </c>
      <c r="D11" s="6" t="n">
        <v>150</v>
      </c>
      <c r="E11" s="6" t="n">
        <v>190</v>
      </c>
      <c r="F11" s="6">
        <f>D11-E11</f>
        <v/>
      </c>
      <c r="G11" s="5" t="inlineStr">
        <is>
          <t>Excedido</t>
        </is>
      </c>
    </row>
    <row r="12">
      <c r="B12" s="5" t="inlineStr">
        <is>
          <t>20% Ahorro/Deuda</t>
        </is>
      </c>
      <c r="C12" s="5" t="inlineStr">
        <is>
          <t>Aportación Fondo Emergencia</t>
        </is>
      </c>
      <c r="D12" s="6" t="n">
        <v>300</v>
      </c>
      <c r="E12" s="6" t="n">
        <v>300</v>
      </c>
      <c r="F12" s="6">
        <f>D12-E12</f>
        <v/>
      </c>
      <c r="G12" s="5" t="inlineStr">
        <is>
          <t>Completado</t>
        </is>
      </c>
    </row>
    <row r="13">
      <c r="B13" s="5" t="inlineStr">
        <is>
          <t>20% Ahorro/Deuda</t>
        </is>
      </c>
      <c r="C13" s="5" t="inlineStr">
        <is>
          <t>Amortización Extra Préstamos</t>
        </is>
      </c>
      <c r="D13" s="6" t="n">
        <v>150</v>
      </c>
      <c r="E13" s="6" t="n">
        <v>150</v>
      </c>
      <c r="F13" s="6">
        <f>D13-E13</f>
        <v/>
      </c>
      <c r="G13" s="5" t="inlineStr">
        <is>
          <t>Completado</t>
        </is>
      </c>
    </row>
    <row r="14">
      <c r="B14" s="7" t="inlineStr">
        <is>
          <t>TOTAL GENERAL</t>
        </is>
      </c>
      <c r="D14" s="8">
        <f>SUM(D6:D13)</f>
        <v/>
      </c>
      <c r="E14" s="8">
        <f>SUM(E6:E13)</f>
        <v/>
      </c>
      <c r="F14" s="8">
        <f>SUM(F6:F13)</f>
        <v/>
      </c>
    </row>
  </sheetData>
  <conditionalFormatting sqref="G6:G100">
    <cfRule type="cellIs" priority="1" operator="equal" dxfId="0" stopIfTrue="1">
      <formula>"Excedido"</formula>
    </cfRule>
    <cfRule type="cellIs" priority="2" operator="equal" dxfId="1" stopIfTrue="1">
      <formula>"OK"</formula>
    </cfRule>
    <cfRule type="cellIs" priority="3" operator="equal" dxfId="2" stopIfTrue="1">
      <formula>"Completado"</formula>
    </cfRule>
  </conditionalFormatting>
  <dataValidations count="2">
    <dataValidation sqref="B6:B100" showDropDown="0" showInputMessage="0" showErrorMessage="0" allowBlank="1" type="list">
      <formula1>"50% Necesidades,30% Deseos,20% Ahorro/Deuda"</formula1>
    </dataValidation>
    <dataValidation sqref="G6:G100" showDropDown="0" showInputMessage="0" showErrorMessage="0" allowBlank="1" type="list">
      <formula1>"OK,Bajo Presupuesto,Excedido,Completado"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/>
    <row r="2">
      <c r="B2" s="1" t="inlineStr">
        <is>
          <t>MÉTODO BOLA DE NIEVE: PLAN DE AMORTIZACIÓN ACELERADA</t>
        </is>
      </c>
    </row>
    <row r="3">
      <c r="B3" s="2" t="inlineStr">
        <is>
          <t>Estrategia matemática: liquida la deuda más pequeña primero para ganar tracción psicológica</t>
        </is>
      </c>
    </row>
    <row r="4"/>
    <row r="5">
      <c r="B5" s="9" t="inlineStr">
        <is>
          <t>Nombre Deuda</t>
        </is>
      </c>
      <c r="C5" s="9" t="inlineStr">
        <is>
          <t>Saldo Pendiente (€)</t>
        </is>
      </c>
      <c r="D5" s="9" t="inlineStr">
        <is>
          <t>Tipo Interés (%)</t>
        </is>
      </c>
      <c r="E5" s="9" t="inlineStr">
        <is>
          <t>Cuota Mínima (€)</t>
        </is>
      </c>
      <c r="F5" s="9" t="inlineStr">
        <is>
          <t>Pago Extra Bola (€)</t>
        </is>
      </c>
      <c r="G5" s="9" t="inlineStr">
        <is>
          <t>Meses Estimados Para Pagar</t>
        </is>
      </c>
      <c r="H5" s="9" t="inlineStr">
        <is>
          <t>Estado</t>
        </is>
      </c>
    </row>
    <row r="6">
      <c r="B6" s="5" t="inlineStr">
        <is>
          <t>Financiación Portátil</t>
        </is>
      </c>
      <c r="C6" s="6" t="n">
        <v>650</v>
      </c>
      <c r="D6" s="10" t="n">
        <v>0</v>
      </c>
      <c r="E6" s="6" t="n">
        <v>65</v>
      </c>
      <c r="F6" s="6" t="n">
        <v>100</v>
      </c>
      <c r="G6" s="5">
        <f>ROUNDUP(C6/(E6+F6),0)</f>
        <v/>
      </c>
      <c r="H6" s="5" t="inlineStr">
        <is>
          <t>Prioridad 1</t>
        </is>
      </c>
    </row>
    <row r="7">
      <c r="B7" s="5" t="inlineStr">
        <is>
          <t>Tarjeta de Crédito</t>
        </is>
      </c>
      <c r="C7" s="6" t="n">
        <v>1200</v>
      </c>
      <c r="D7" s="10" t="n">
        <v>19.5</v>
      </c>
      <c r="E7" s="6" t="n">
        <v>60</v>
      </c>
      <c r="F7" s="6" t="n">
        <v>0</v>
      </c>
      <c r="G7" s="5">
        <f>ROUNDUP(C7/(E7+F7),0)</f>
        <v/>
      </c>
      <c r="H7" s="5" t="inlineStr">
        <is>
          <t>Prioridad 2</t>
        </is>
      </c>
    </row>
    <row r="8">
      <c r="B8" s="5" t="inlineStr">
        <is>
          <t>Préstamo Coche</t>
        </is>
      </c>
      <c r="C8" s="6" t="n">
        <v>4500</v>
      </c>
      <c r="D8" s="10" t="n">
        <v>6.5</v>
      </c>
      <c r="E8" s="6" t="n">
        <v>140</v>
      </c>
      <c r="F8" s="6" t="n">
        <v>0</v>
      </c>
      <c r="G8" s="5">
        <f>ROUNDUP(C8/(E8+F8),0)</f>
        <v/>
      </c>
      <c r="H8" s="5" t="inlineStr">
        <is>
          <t>Prioridad 3</t>
        </is>
      </c>
    </row>
  </sheetData>
  <conditionalFormatting sqref="H6:H50">
    <cfRule type="cellIs" priority="1" operator="equal" dxfId="3" stopIfTrue="1">
      <formula>"Prioridad 1"</formula>
    </cfRule>
    <cfRule type="cellIs" priority="2" operator="equal" dxfId="1" stopIfTrue="1">
      <formula>"Pagada"</formula>
    </cfRule>
  </conditionalFormatting>
  <dataValidations count="1">
    <dataValidation sqref="H6:H50" showDropDown="0" showInputMessage="0" showErrorMessage="0" allowBlank="1" type="list">
      <formula1>"Prioridad 1,Prioridad 2,Prioridad 3,Pagada"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2026-10-15T14:51:12Z</dcterms:created>
  <dcterms:modified xmlns:dcterms="http://purl.org/dc/terms/" xmlns:xsi="http://www.w3.org/2001/XMLSchema-instance" xsi:type="dcterms:W3CDTF">2026-10-15T14:51:12Z</dcterms:modified>
</cp:coreProperties>
</file>